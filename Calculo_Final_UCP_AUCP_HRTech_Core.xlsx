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 UCP &amp; Estim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R$ #,##0.00"/>
    <numFmt numFmtId="166" formatCode="#,##0.0 &quot;h&quot;"/>
    <numFmt numFmtId="167" formatCode="0.0 &quot;sem&quot;"/>
    <numFmt numFmtId="168" formatCode="#,##0.0 &quot;horas&quot;"/>
  </numFmts>
  <fonts count="14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b val="1"/>
      <color rgb="000D9488"/>
      <sz val="11"/>
    </font>
    <font>
      <name val="Arial"/>
      <b val="1"/>
      <color rgb="000F172A"/>
      <sz val="12"/>
    </font>
    <font>
      <name val="Arial"/>
      <b val="1"/>
      <color rgb="00475569"/>
      <sz val="9"/>
    </font>
    <font>
      <name val="Arial"/>
      <b val="1"/>
      <color rgb="001E293B"/>
      <sz val="10"/>
    </font>
    <font>
      <name val="Arial"/>
      <i val="1"/>
      <sz val="10"/>
    </font>
    <font>
      <name val="Arial"/>
      <color rgb="001E293B"/>
      <sz val="10"/>
    </font>
    <font>
      <name val="Arial"/>
      <b val="1"/>
      <color rgb="000F172A"/>
      <sz val="11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66534"/>
      <sz val="11"/>
    </font>
    <font>
      <name val="Arial"/>
      <b val="1"/>
      <color rgb="000F172A"/>
      <sz val="10"/>
    </font>
    <font>
      <name val="Arial"/>
      <b val="1"/>
      <color rgb="00166534"/>
      <sz val="12"/>
    </font>
  </fonts>
  <fills count="5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0F172A"/>
        <bgColor rgb="000F172A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9" fillId="2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7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11" fillId="0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166" fontId="11" fillId="4" borderId="1" applyAlignment="1" pivotButton="0" quotePrefix="0" xfId="0">
      <alignment horizontal="center" vertical="center"/>
    </xf>
    <xf numFmtId="165" fontId="11" fillId="4" borderId="1" applyAlignment="1" pivotButton="0" quotePrefix="0" xfId="0">
      <alignment horizontal="center" vertical="center"/>
    </xf>
    <xf numFmtId="167" fontId="7" fillId="4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left" vertical="center" wrapText="1"/>
    </xf>
    <xf numFmtId="168" fontId="5" fillId="0" borderId="0" applyAlignment="1" pivotButton="0" quotePrefix="0" xfId="0">
      <alignment horizontal="left" vertical="center" wrapText="1"/>
    </xf>
    <xf numFmtId="165" fontId="5" fillId="0" borderId="0" applyAlignment="1" pivotButton="0" quotePrefix="0" xfId="0">
      <alignment horizontal="left" vertical="center" wrapText="1"/>
    </xf>
    <xf numFmtId="165" fontId="1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26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CONSOLIDADO UCP: AUCP, ESFORÇO, CRONOGRAMA E CUSTOS</t>
        </is>
      </c>
    </row>
    <row r="2" ht="20" customHeight="1">
      <c r="A2" s="2" t="inlineStr">
        <is>
          <t>Método de Pontos por Casos de Uso (Karner / Schneider &amp; Winters) — HRTech Core</t>
        </is>
      </c>
    </row>
    <row r="4">
      <c r="A4" s="3" t="inlineStr">
        <is>
          <t>1. DADOS DE ENTRADA DO PROJETO</t>
        </is>
      </c>
    </row>
    <row r="5" ht="19" customHeight="1">
      <c r="A5" s="4" t="inlineStr">
        <is>
          <t>Sistema:</t>
        </is>
      </c>
      <c r="B5" s="5" t="inlineStr">
        <is>
          <t>HRTech Core — Sistema Modular de Gestão de RH (LPS)</t>
        </is>
      </c>
    </row>
    <row r="6" ht="19" customHeight="1">
      <c r="A6" s="4" t="inlineStr">
        <is>
          <t>Pontos de Casos de Uso Não Ajustados (UUCP):</t>
        </is>
      </c>
      <c r="B6" s="5" t="n">
        <v>178</v>
      </c>
    </row>
    <row r="7" ht="19" customHeight="1">
      <c r="A7" s="4" t="inlineStr">
        <is>
          <t>Fator de Complexidade Técnica (TCF):</t>
        </is>
      </c>
      <c r="B7" s="6" t="n">
        <v>1.105</v>
      </c>
    </row>
    <row r="8" ht="19" customHeight="1">
      <c r="A8" s="4" t="inlineStr">
        <is>
          <t>Fator de Complexidade Ambiental (ECF):</t>
        </is>
      </c>
      <c r="B8" s="6" t="n">
        <v>0.755</v>
      </c>
    </row>
    <row r="9" ht="19" customHeight="1">
      <c r="A9" s="4" t="inlineStr">
        <is>
          <t>Valor da Homem-Hora (R$):</t>
        </is>
      </c>
      <c r="B9" s="7" t="n">
        <v>50</v>
      </c>
    </row>
    <row r="10" ht="19" customHeight="1">
      <c r="A10" s="4" t="inlineStr">
        <is>
          <t>Carga Horária Semanal por Dev (horas):</t>
        </is>
      </c>
      <c r="B10" s="5" t="n">
        <v>40</v>
      </c>
    </row>
    <row r="12">
      <c r="A12" s="3" t="inlineStr">
        <is>
          <t>2. CÁLCULO DO UCP AJUSTADO (AUCP)</t>
        </is>
      </c>
    </row>
    <row r="13">
      <c r="A13" s="4" t="inlineStr">
        <is>
          <t>Fórmula:</t>
        </is>
      </c>
      <c r="B13" s="8" t="inlineStr">
        <is>
          <t>AUCP = UUCP × TCF × ECF</t>
        </is>
      </c>
    </row>
    <row r="14">
      <c r="A14" s="4" t="inlineStr">
        <is>
          <t>Substituição:</t>
        </is>
      </c>
      <c r="B14" s="9">
        <f>CONCATENATE("AUCP = ", B6, " × ", TEXT(B7,"0.000"), " × ", TEXT(B8,"0.000"))</f>
        <v/>
      </c>
    </row>
    <row r="15" ht="28" customHeight="1">
      <c r="A15" s="10" t="inlineStr">
        <is>
          <t>AUCP RESULTANTE:</t>
        </is>
      </c>
      <c r="B15" s="11">
        <f>B6*B7*B8</f>
        <v/>
      </c>
    </row>
    <row r="17">
      <c r="A17" s="3" t="inlineStr">
        <is>
          <t>3. AVALIAÇÃO DA TAXA DE PRODUTIVIDADE (REGRA DE SCHNEIDER &amp; WINTERS)</t>
        </is>
      </c>
    </row>
    <row r="18" ht="24" customHeight="1">
      <c r="A18" s="12" t="inlineStr">
        <is>
          <t>Variável</t>
        </is>
      </c>
      <c r="B18" s="12" t="inlineStr">
        <is>
          <t>Regra / Condição</t>
        </is>
      </c>
      <c r="C18" s="12" t="inlineStr">
        <is>
          <t>Quantidade Apurada</t>
        </is>
      </c>
      <c r="D18" s="12" t="inlineStr">
        <is>
          <t>Taxa Recomendada</t>
        </is>
      </c>
    </row>
    <row r="19" ht="22" customHeight="1">
      <c r="A19" s="13" t="inlineStr">
        <is>
          <t>Fatores F1-F6 &lt; 3 (X)</t>
        </is>
      </c>
      <c r="B19" s="14" t="inlineStr">
        <is>
          <t>Qtd de fatores de processo/equipe com nota &lt; 3</t>
        </is>
      </c>
      <c r="C19" s="15" t="n">
        <v>0</v>
      </c>
      <c r="D19" s="16" t="inlineStr">
        <is>
          <t>—</t>
        </is>
      </c>
    </row>
    <row r="20" ht="22" customHeight="1">
      <c r="A20" s="13" t="inlineStr">
        <is>
          <t>Fatores F7-F8 &gt; 3 (Y)</t>
        </is>
      </c>
      <c r="B20" s="14" t="inlineStr">
        <is>
          <t>Qtd de fatores de risco (parcial/dificuldade) com nota &gt; 3</t>
        </is>
      </c>
      <c r="C20" s="15" t="n">
        <v>0</v>
      </c>
      <c r="D20" s="16" t="inlineStr">
        <is>
          <t>—</t>
        </is>
      </c>
    </row>
    <row r="21" ht="22" customHeight="1">
      <c r="A21" s="17" t="inlineStr">
        <is>
          <t>Total (X + Y)</t>
        </is>
      </c>
      <c r="B21" s="13" t="inlineStr">
        <is>
          <t>Condição: (X + Y) &lt;= 2 → 20 h/UCP</t>
        </is>
      </c>
      <c r="C21" s="18">
        <f>C19+C20</f>
        <v/>
      </c>
      <c r="D21" s="19" t="inlineStr">
        <is>
          <t>20 h / UCP</t>
        </is>
      </c>
    </row>
    <row r="23">
      <c r="A23" s="3" t="inlineStr">
        <is>
          <t>4. TABELA COMPARATIVA DE PRODUTIVIDADE E CRONOGRAMA</t>
        </is>
      </c>
    </row>
    <row r="24" ht="26" customHeight="1">
      <c r="A24" s="12" t="inlineStr">
        <is>
          <t>Produtividade (h/UCP)</t>
        </is>
      </c>
      <c r="B24" s="12" t="inlineStr">
        <is>
          <t>Esforço Total (Horas)</t>
        </is>
      </c>
      <c r="C24" s="12" t="inlineStr">
        <is>
          <t>Custo Total (R$)</t>
        </is>
      </c>
      <c r="D24" s="12" t="inlineStr">
        <is>
          <t>1 Desenvolvedor</t>
        </is>
      </c>
      <c r="E24" s="12" t="inlineStr">
        <is>
          <t>2 Desenvolvedores</t>
        </is>
      </c>
      <c r="F24" s="12" t="inlineStr">
        <is>
          <t>4 Desenvolvedores</t>
        </is>
      </c>
    </row>
    <row r="25" ht="24" customHeight="1">
      <c r="A25" s="20" t="inlineStr">
        <is>
          <t>15 h/UCP (Otimista)</t>
        </is>
      </c>
      <c r="B25" s="21">
        <f>$B$15*15</f>
        <v/>
      </c>
      <c r="C25" s="22">
        <f>B25*$B$9</f>
        <v/>
      </c>
      <c r="D25" s="23">
        <f>B25/(1*$B$10)</f>
        <v/>
      </c>
      <c r="E25" s="23">
        <f>B25/(2*$B$10)</f>
        <v/>
      </c>
      <c r="F25" s="23">
        <f>B25/(4*$B$10)</f>
        <v/>
      </c>
    </row>
    <row r="26" ht="24" customHeight="1">
      <c r="A26" s="24" t="inlineStr">
        <is>
          <t>20 h/UCP (OFICIAL RECOMENDADO)</t>
        </is>
      </c>
      <c r="B26" s="25">
        <f>$B$15*20</f>
        <v/>
      </c>
      <c r="C26" s="26">
        <f>B26*$B$9</f>
        <v/>
      </c>
      <c r="D26" s="27">
        <f>B26/(1*$B$10)</f>
        <v/>
      </c>
      <c r="E26" s="27">
        <f>B26/(2*$B$10)</f>
        <v/>
      </c>
      <c r="F26" s="27">
        <f>B26/(4*$B$10)</f>
        <v/>
      </c>
    </row>
    <row r="27" ht="24" customHeight="1">
      <c r="A27" s="20" t="inlineStr">
        <is>
          <t>25 h/UCP (Conservador)</t>
        </is>
      </c>
      <c r="B27" s="21">
        <f>$B$15*25</f>
        <v/>
      </c>
      <c r="C27" s="22">
        <f>B27*$B$9</f>
        <v/>
      </c>
      <c r="D27" s="23">
        <f>B27/(1*$B$10)</f>
        <v/>
      </c>
      <c r="E27" s="23">
        <f>B27/(2*$B$10)</f>
        <v/>
      </c>
      <c r="F27" s="23">
        <f>B27/(4*$B$10)</f>
        <v/>
      </c>
    </row>
    <row r="28" ht="24" customHeight="1">
      <c r="A28" s="20" t="inlineStr">
        <is>
          <t>28 h/UCP (Contingência / Alto Risco)</t>
        </is>
      </c>
      <c r="B28" s="21">
        <f>$B$15*28</f>
        <v/>
      </c>
      <c r="C28" s="22">
        <f>B28*$B$9</f>
        <v/>
      </c>
      <c r="D28" s="23">
        <f>B28/(1*$B$10)</f>
        <v/>
      </c>
      <c r="E28" s="23">
        <f>B28/(2*$B$10)</f>
        <v/>
      </c>
      <c r="F28" s="23">
        <f>B28/(4*$B$10)</f>
        <v/>
      </c>
    </row>
    <row r="30">
      <c r="A30" s="3" t="inlineStr">
        <is>
          <t>5. ORÇAMENTO FINANCEIRO E RESUMO DA ESTIMATIVA</t>
        </is>
      </c>
    </row>
    <row r="31" ht="22" customHeight="1">
      <c r="A31" s="28" t="inlineStr">
        <is>
          <t>UCP Ajustado (AUCP):</t>
        </is>
      </c>
      <c r="B31" s="29">
        <f>B15</f>
        <v/>
      </c>
    </row>
    <row r="32" ht="22" customHeight="1">
      <c r="A32" s="28" t="inlineStr">
        <is>
          <t>Taxa de Esforço Oficial:</t>
        </is>
      </c>
      <c r="B32" s="30" t="n">
        <v>20</v>
      </c>
    </row>
    <row r="33" ht="22" customHeight="1">
      <c r="A33" s="28" t="inlineStr">
        <is>
          <t>Esforço Total Estimado:</t>
        </is>
      </c>
      <c r="B33" s="30">
        <f>B26</f>
        <v/>
      </c>
    </row>
    <row r="34" ht="22" customHeight="1">
      <c r="A34" s="28" t="inlineStr">
        <is>
          <t>Valor da Homem-Hora:</t>
        </is>
      </c>
      <c r="B34" s="31">
        <f>B9</f>
        <v/>
      </c>
    </row>
    <row r="35" ht="22" customHeight="1">
      <c r="A35" s="28" t="inlineStr">
        <is>
          <t>INVESTIMENTO TOTAL ESTIMADO:</t>
        </is>
      </c>
      <c r="B35" s="32">
        <f>C26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2026-09-01T00:32:34Z</dcterms:created>
  <dcterms:modified xmlns:dcterms="http://purl.org/dc/terms/" xmlns:xsi="http://www.w3.org/2001/XMLSchema-instance" xsi:type="dcterms:W3CDTF">2026-09-01T00:32:34Z</dcterms:modified>
</cp:coreProperties>
</file>