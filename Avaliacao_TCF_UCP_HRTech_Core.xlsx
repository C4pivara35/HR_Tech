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 TCF (UCP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0D9488"/>
      <sz val="11"/>
    </font>
    <font>
      <name val="Arial"/>
      <b val="1"/>
      <color rgb="00475569"/>
      <sz val="9"/>
    </font>
    <font>
      <name val="Arial"/>
      <color rgb="001E293B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166534"/>
      <sz val="10"/>
    </font>
    <font>
      <name val="Arial"/>
      <b val="1"/>
      <color rgb="000F172A"/>
      <sz val="11"/>
    </font>
    <font>
      <name val="Arial"/>
      <b val="1"/>
      <color rgb="00166534"/>
      <sz val="11"/>
    </font>
    <font>
      <name val="Arial"/>
      <b val="1"/>
      <color rgb="00475569"/>
      <sz val="10"/>
    </font>
    <font>
      <name val="Arial"/>
      <i val="1"/>
      <color rgb="001E293B"/>
      <sz val="10"/>
    </font>
    <font>
      <name val="Arial"/>
      <b val="1"/>
      <color rgb="000F172A"/>
      <sz val="12"/>
    </font>
    <font>
      <name val="Arial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10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12" customWidth="1" min="4" max="4"/>
    <col width="24" customWidth="1" min="5" max="5"/>
    <col width="85" customWidth="1" min="6" max="6"/>
  </cols>
  <sheetData>
    <row r="1" ht="25" customHeight="1">
      <c r="A1" s="1" t="inlineStr">
        <is>
          <t>AVALIAÇÃO DO FATOR DE COMPLEXIDADE TÉCNICA (TCF)</t>
        </is>
      </c>
    </row>
    <row r="2" ht="20" customHeight="1">
      <c r="A2" s="2" t="inlineStr">
        <is>
          <t>Método de Pontos por Casos de Uso (Use-Case Points - UCP / Karner, 1993)</t>
        </is>
      </c>
    </row>
    <row r="4" ht="18" customHeight="1">
      <c r="A4" s="3" t="inlineStr">
        <is>
          <t>PROJETO:</t>
        </is>
      </c>
      <c r="B4" s="4" t="inlineStr">
        <is>
          <t>HRTech Core — Sistema Modular de Gestão de Recursos Humanos</t>
        </is>
      </c>
    </row>
    <row r="5" ht="18" customHeight="1">
      <c r="A5" s="3" t="inlineStr">
        <is>
          <t>APLICAÇÃO:</t>
        </is>
      </c>
      <c r="B5" s="4" t="inlineStr">
        <is>
          <t>Plataforma SaaS modular baseada em Linha de Produção de Software (LPS) com variabilidade para Tecnologia, Indústria e Financeiro/Seguros.</t>
        </is>
      </c>
    </row>
    <row r="6" ht="18" customHeight="1">
      <c r="A6" s="3" t="inlineStr">
        <is>
          <t>ARQUITETURA:</t>
        </is>
      </c>
      <c r="B6" s="4" t="inlineStr">
        <is>
          <t>Web SPA (HTML5/CSS3/JS ES6+), RESTful APIs, banco relacional multi-tenant e controle por feature toggles.</t>
        </is>
      </c>
    </row>
    <row r="8" ht="28" customHeight="1">
      <c r="A8" s="5" t="inlineStr">
        <is>
          <t>ID</t>
        </is>
      </c>
      <c r="B8" s="5" t="inlineStr">
        <is>
          <t>Descrição do Fator</t>
        </is>
      </c>
      <c r="C8" s="5" t="inlineStr">
        <is>
          <t>Peso</t>
        </is>
      </c>
      <c r="D8" s="5" t="inlineStr">
        <is>
          <t>Nota (0-5)</t>
        </is>
      </c>
      <c r="E8" s="5" t="inlineStr">
        <is>
          <t>Subtotal (Peso × Nota)</t>
        </is>
      </c>
      <c r="F8" s="5" t="inlineStr">
        <is>
          <t>Justificativa Técnica no Contexto do Projeto</t>
        </is>
      </c>
    </row>
    <row r="9" ht="24" customHeight="1">
      <c r="A9" s="6" t="inlineStr">
        <is>
          <t>T1</t>
        </is>
      </c>
      <c r="B9" s="7" t="inlineStr">
        <is>
          <t>Sistemas distribuídos</t>
        </is>
      </c>
      <c r="C9" s="8" t="n">
        <v>2</v>
      </c>
      <c r="D9" s="6" t="n">
        <v>4</v>
      </c>
      <c r="E9" s="9">
        <f>C9*D9</f>
        <v/>
      </c>
      <c r="F9" s="7" t="inlineStr">
        <is>
          <t>Arquitetura Web SPA cliente-servidor distribuída com APIs REST e multi-tenancy em nuvem.</t>
        </is>
      </c>
    </row>
    <row r="10" ht="24" customHeight="1">
      <c r="A10" s="10" t="inlineStr">
        <is>
          <t>T2</t>
        </is>
      </c>
      <c r="B10" s="11" t="inlineStr">
        <is>
          <t>Objetivos de desempenho e tempo de resposta</t>
        </is>
      </c>
      <c r="C10" s="12" t="n">
        <v>1</v>
      </c>
      <c r="D10" s="10" t="n">
        <v>4</v>
      </c>
      <c r="E10" s="9">
        <f>C10*D10</f>
        <v/>
      </c>
      <c r="F10" s="11" t="inlineStr">
        <is>
          <t>Crítico para registros de ponto em horários de pico (resposta esperada &lt; 200 ms — RNF02).</t>
        </is>
      </c>
    </row>
    <row r="11" ht="24" customHeight="1">
      <c r="A11" s="6" t="inlineStr">
        <is>
          <t>T3</t>
        </is>
      </c>
      <c r="B11" s="7" t="inlineStr">
        <is>
          <t>Eficiência do usuário final (on-line)</t>
        </is>
      </c>
      <c r="C11" s="8" t="n">
        <v>1</v>
      </c>
      <c r="D11" s="6" t="n">
        <v>4</v>
      </c>
      <c r="E11" s="9">
        <f>C11*D11</f>
        <v/>
      </c>
      <c r="F11" s="7" t="inlineStr">
        <is>
          <t>Navegação SPA fluida, painéis resumidos e aprovações em 1 clique para agilizar a operação.</t>
        </is>
      </c>
    </row>
    <row r="12" ht="24" customHeight="1">
      <c r="A12" s="10" t="inlineStr">
        <is>
          <t>T4</t>
        </is>
      </c>
      <c r="B12" s="11" t="inlineStr">
        <is>
          <t>Complexidade interna de processamento</t>
        </is>
      </c>
      <c r="C12" s="12" t="n">
        <v>1</v>
      </c>
      <c r="D12" s="10" t="n">
        <v>3</v>
      </c>
      <c r="E12" s="9">
        <f>C12*D12</f>
        <v/>
      </c>
      <c r="F12" s="11" t="inlineStr">
        <is>
          <t>Algoritmos de cálculo de saldo de banco de horas, escalas 12x36, abonos e dupla custódia.</t>
        </is>
      </c>
    </row>
    <row r="13" ht="24" customHeight="1">
      <c r="A13" s="6" t="inlineStr">
        <is>
          <t>T5</t>
        </is>
      </c>
      <c r="B13" s="7" t="inlineStr">
        <is>
          <t>Código deve ser reutilizado</t>
        </is>
      </c>
      <c r="C13" s="8" t="n">
        <v>1</v>
      </c>
      <c r="D13" s="6" t="n">
        <v>5</v>
      </c>
      <c r="E13" s="9">
        <f>C13*D13</f>
        <v/>
      </c>
      <c r="F13" s="7" t="inlineStr">
        <is>
          <t>Essencial (LPS). Meta de reuso &gt; 75% com 6 ativos reutilizáveis documentados (AR01 a AR06).</t>
        </is>
      </c>
    </row>
    <row r="14" ht="24" customHeight="1">
      <c r="A14" s="10" t="inlineStr">
        <is>
          <t>T6</t>
        </is>
      </c>
      <c r="B14" s="11" t="inlineStr">
        <is>
          <t>Facilidade de instalação</t>
        </is>
      </c>
      <c r="C14" s="12" t="n">
        <v>0.5</v>
      </c>
      <c r="D14" s="10" t="n">
        <v>3</v>
      </c>
      <c r="E14" s="9">
        <f>C14*D14</f>
        <v/>
      </c>
      <c r="F14" s="11" t="inlineStr">
        <is>
          <t>SaaS em nuvem sem instalação no cliente, mas com setup automático de novos tenants em &lt; 8h.</t>
        </is>
      </c>
    </row>
    <row r="15" ht="24" customHeight="1">
      <c r="A15" s="6" t="inlineStr">
        <is>
          <t>T7</t>
        </is>
      </c>
      <c r="B15" s="7" t="inlineStr">
        <is>
          <t>Facilidade de uso (Usabilidade)</t>
        </is>
      </c>
      <c r="C15" s="8" t="n">
        <v>0.5</v>
      </c>
      <c r="D15" s="6" t="n">
        <v>4</v>
      </c>
      <c r="E15" s="9">
        <f>C15*D15</f>
        <v/>
      </c>
      <c r="F15" s="7" t="inlineStr">
        <is>
          <t>Atende desde diretores de RH até operadores de fábrica, exigindo alta usabilidade e clareza.</t>
        </is>
      </c>
    </row>
    <row r="16" ht="24" customHeight="1">
      <c r="A16" s="10" t="inlineStr">
        <is>
          <t>T8</t>
        </is>
      </c>
      <c r="B16" s="11" t="inlineStr">
        <is>
          <t>Portabilidade</t>
        </is>
      </c>
      <c r="C16" s="12" t="n">
        <v>2</v>
      </c>
      <c r="D16" s="10" t="n">
        <v>4</v>
      </c>
      <c r="E16" s="9">
        <f>C16*D16</f>
        <v/>
      </c>
      <c r="F16" s="11" t="inlineStr">
        <is>
          <t>Suporte a múltiplos navegadores em desktops, tablets industriais e smartphones.</t>
        </is>
      </c>
    </row>
    <row r="17" ht="24" customHeight="1">
      <c r="A17" s="6" t="inlineStr">
        <is>
          <t>T9</t>
        </is>
      </c>
      <c r="B17" s="7" t="inlineStr">
        <is>
          <t>Facilidade de mudança (Manutenibilidade)</t>
        </is>
      </c>
      <c r="C17" s="8" t="n">
        <v>1</v>
      </c>
      <c r="D17" s="6" t="n">
        <v>5</v>
      </c>
      <c r="E17" s="9">
        <f>C17*D17</f>
        <v/>
      </c>
      <c r="F17" s="7" t="inlineStr">
        <is>
          <t>Essencial. Arquitetura modular desacoplada para ativação de regras e módulos por tenant.</t>
        </is>
      </c>
    </row>
    <row r="18" ht="24" customHeight="1">
      <c r="A18" s="10" t="inlineStr">
        <is>
          <t>T10</t>
        </is>
      </c>
      <c r="B18" s="11" t="inlineStr">
        <is>
          <t>Concorrência</t>
        </is>
      </c>
      <c r="C18" s="12" t="n">
        <v>1</v>
      </c>
      <c r="D18" s="10" t="n">
        <v>4</v>
      </c>
      <c r="E18" s="9">
        <f>C18*D18</f>
        <v/>
      </c>
      <c r="F18" s="11" t="inlineStr">
        <is>
          <t>Elevado número de acessos simultâneos ao bater ponto nas trocas de turno e ao consultar dashboards.</t>
        </is>
      </c>
    </row>
    <row r="19" ht="24" customHeight="1">
      <c r="A19" s="6" t="inlineStr">
        <is>
          <t>T11</t>
        </is>
      </c>
      <c r="B19" s="7" t="inlineStr">
        <is>
          <t>Características especiais de segurança</t>
        </is>
      </c>
      <c r="C19" s="8" t="n">
        <v>1</v>
      </c>
      <c r="D19" s="6" t="n">
        <v>4</v>
      </c>
      <c r="E19" s="9">
        <f>C19*D19</f>
        <v/>
      </c>
      <c r="F19" s="7" t="inlineStr">
        <is>
          <t>Controle RBAC, trilha de auditoria imutável, conformidade com a LGPD e dupla custódia.</t>
        </is>
      </c>
    </row>
    <row r="20" ht="24" customHeight="1">
      <c r="A20" s="10" t="inlineStr">
        <is>
          <t>T12</t>
        </is>
      </c>
      <c r="B20" s="11" t="inlineStr">
        <is>
          <t>Acesso direto para terceiros</t>
        </is>
      </c>
      <c r="C20" s="12" t="n">
        <v>1</v>
      </c>
      <c r="D20" s="10" t="n">
        <v>3</v>
      </c>
      <c r="E20" s="9">
        <f>C20*D20</f>
        <v/>
      </c>
      <c r="F20" s="11" t="inlineStr">
        <is>
          <t>Integração API com cartões de benefícios (Caju/Flash), eSocial e Portal do Corretor parceiro.</t>
        </is>
      </c>
    </row>
    <row r="21" ht="24" customHeight="1">
      <c r="A21" s="6" t="inlineStr">
        <is>
          <t>T13</t>
        </is>
      </c>
      <c r="B21" s="7" t="inlineStr">
        <is>
          <t>Treinamento especial dos usuários</t>
        </is>
      </c>
      <c r="C21" s="8" t="n">
        <v>1</v>
      </c>
      <c r="D21" s="6" t="n">
        <v>2</v>
      </c>
      <c r="E21" s="9">
        <f>C21*D21</f>
        <v/>
      </c>
      <c r="F21" s="7" t="inlineStr">
        <is>
          <t>Interface autoexplicativa com design intuitivo para dispensar treinamentos complexos.</t>
        </is>
      </c>
    </row>
    <row r="22" ht="26" customHeight="1">
      <c r="A22" s="13" t="inlineStr">
        <is>
          <t>SOMATÓRIO DOS FATORES (Σ TF)</t>
        </is>
      </c>
      <c r="B22" s="14" t="n"/>
      <c r="C22" s="14" t="n"/>
      <c r="D22" s="14" t="n"/>
      <c r="E22" s="15">
        <f>SUM(E9:E21)</f>
        <v/>
      </c>
      <c r="F22" s="14" t="n"/>
    </row>
    <row r="24">
      <c r="A24" s="16" t="inlineStr">
        <is>
          <t>MEMÓRIA DE CÁLCULO DO TCF:</t>
        </is>
      </c>
    </row>
    <row r="25">
      <c r="A25" s="17" t="inlineStr">
        <is>
          <t>Fórmula:</t>
        </is>
      </c>
      <c r="B25" s="18" t="inlineStr">
        <is>
          <t>TCF = 0,6 + (0,01 × Σ TF)</t>
        </is>
      </c>
    </row>
    <row r="26">
      <c r="A26" s="17" t="inlineStr">
        <is>
          <t>Substituição:</t>
        </is>
      </c>
      <c r="B26" s="19">
        <f>CONCATENATE("TCF = 0,6 + (0,01 × ", TEXT(E22, "0.0"), ")")</f>
        <v/>
      </c>
    </row>
    <row r="28" ht="30" customHeight="1">
      <c r="A28" s="20" t="inlineStr">
        <is>
          <t>VALOR FINAL DE TCF:</t>
        </is>
      </c>
      <c r="B28" s="21">
        <f>0.6 + (0.01 * E22)</f>
        <v/>
      </c>
    </row>
  </sheetData>
  <mergeCells count="1"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2026-09-01T00:06:07Z</dcterms:created>
  <dcterms:modified xmlns:dcterms="http://purl.org/dc/terms/" xmlns:xsi="http://www.w3.org/2001/XMLSchema-instance" xsi:type="dcterms:W3CDTF">2026-09-01T00:06:07Z</dcterms:modified>
</cp:coreProperties>
</file>