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liação ECF (F1-F8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15">
    <font>
      <name val="Calibri"/>
      <family val="2"/>
      <color theme="1"/>
      <sz val="11"/>
      <scheme val="minor"/>
    </font>
    <font>
      <name val="Arial"/>
      <b val="1"/>
      <color rgb="000F172A"/>
      <sz val="16"/>
    </font>
    <font>
      <name val="Arial"/>
      <b val="1"/>
      <color rgb="000D9488"/>
      <sz val="11"/>
    </font>
    <font>
      <name val="Arial"/>
      <b val="1"/>
      <color rgb="00475569"/>
      <sz val="9"/>
    </font>
    <font>
      <name val="Arial"/>
      <color rgb="001E293B"/>
      <sz val="9"/>
    </font>
    <font>
      <name val="Arial"/>
      <b val="1"/>
      <color rgb="00FFFFFF"/>
      <sz val="10"/>
    </font>
    <font>
      <name val="Arial"/>
      <b val="1"/>
      <color rgb="001E293B"/>
      <sz val="10"/>
    </font>
    <font>
      <name val="Arial"/>
      <color rgb="001E293B"/>
      <sz val="10"/>
    </font>
    <font>
      <name val="Arial"/>
      <b val="1"/>
      <color rgb="00166534"/>
      <sz val="10"/>
    </font>
    <font>
      <name val="Arial"/>
      <b val="1"/>
      <color rgb="000F172A"/>
      <sz val="11"/>
    </font>
    <font>
      <name val="Arial"/>
      <b val="1"/>
      <color rgb="00166534"/>
      <sz val="11"/>
    </font>
    <font>
      <name val="Arial"/>
      <b val="1"/>
      <color rgb="00475569"/>
      <sz val="10"/>
    </font>
    <font>
      <name val="Arial"/>
      <i val="1"/>
      <color rgb="001E293B"/>
      <sz val="10"/>
    </font>
    <font>
      <name val="Arial"/>
      <b val="1"/>
      <color rgb="000F172A"/>
      <sz val="12"/>
    </font>
    <font>
      <name val="Arial"/>
      <b val="1"/>
      <color rgb="00FFFFFF"/>
      <sz val="14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0FDF4"/>
        <bgColor rgb="00F0FDF4"/>
      </patternFill>
    </fill>
    <fill>
      <patternFill patternType="solid">
        <fgColor rgb="00F8FAFC"/>
        <bgColor rgb="00F8FAFC"/>
      </patternFill>
    </fill>
    <fill>
      <patternFill patternType="solid">
        <fgColor rgb="000D9488"/>
        <bgColor rgb="000D9488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wrapText="1"/>
    </xf>
    <xf numFmtId="164" fontId="7" fillId="4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right" vertical="center"/>
    </xf>
    <xf numFmtId="0" fontId="0" fillId="0" borderId="1" pivotButton="0" quotePrefix="0" xfId="0"/>
    <xf numFmtId="164" fontId="10" fillId="3" borderId="1" applyAlignment="1" pivotButton="0" quotePrefix="0" xfId="0">
      <alignment horizontal="center" vertical="center"/>
    </xf>
    <xf numFmtId="0" fontId="9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7" fillId="0" borderId="0" pivotButton="0" quotePrefix="0" xfId="0"/>
    <xf numFmtId="0" fontId="13" fillId="0" borderId="0" pivotButton="0" quotePrefix="0" xfId="0"/>
    <xf numFmtId="165" fontId="14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10" customWidth="1" min="3" max="3"/>
    <col width="12" customWidth="1" min="4" max="4"/>
    <col width="24" customWidth="1" min="5" max="5"/>
    <col width="85" customWidth="1" min="6" max="6"/>
  </cols>
  <sheetData>
    <row r="1" ht="25" customHeight="1">
      <c r="A1" s="1" t="inlineStr">
        <is>
          <t>AVALIAÇÃO DO FATOR DE COMPLEXIDADE AMBIENTAL (ECF / FCA)</t>
        </is>
      </c>
    </row>
    <row r="2" ht="20" customHeight="1">
      <c r="A2" s="2" t="inlineStr">
        <is>
          <t>Método de Pontos por Casos de Uso (Use-Case Points - UCP / Karner, 1993)</t>
        </is>
      </c>
    </row>
    <row r="4" ht="18" customHeight="1">
      <c r="A4" s="3" t="inlineStr">
        <is>
          <t>PROJETO:</t>
        </is>
      </c>
      <c r="B4" s="4" t="inlineStr">
        <is>
          <t>HRTech Core — Sistema Modular de Gestão de Recursos Humanos</t>
        </is>
      </c>
    </row>
    <row r="5" ht="18" customHeight="1">
      <c r="A5" s="3" t="inlineStr">
        <is>
          <t>PERFIL DA EQUIPE:</t>
        </is>
      </c>
      <c r="B5" s="4" t="inlineStr">
        <is>
          <t>Estudantes de Engenharia de Software com forte conhecimento em OO, padrões de reuso (LPS) e desenvolvimento Web SPA.</t>
        </is>
      </c>
    </row>
    <row r="6" ht="18" customHeight="1">
      <c r="A6" s="3" t="inlineStr">
        <is>
          <t>PROCESSO E REGIME:</t>
        </is>
      </c>
      <c r="B6" s="4" t="inlineStr">
        <is>
          <t>Processo ágil (Scrum/GitFlow), requisitos estáveis definidos no documento de arquitetura e regime de trabalho acadêmico (tempo parcial).</t>
        </is>
      </c>
    </row>
    <row r="8" ht="28" customHeight="1">
      <c r="A8" s="5" t="inlineStr">
        <is>
          <t>ID</t>
        </is>
      </c>
      <c r="B8" s="5" t="inlineStr">
        <is>
          <t>Descrição do Fator Ambiental</t>
        </is>
      </c>
      <c r="C8" s="5" t="inlineStr">
        <is>
          <t>Peso</t>
        </is>
      </c>
      <c r="D8" s="5" t="inlineStr">
        <is>
          <t>Nota (0-5)</t>
        </is>
      </c>
      <c r="E8" s="5" t="inlineStr">
        <is>
          <t>Subtotal (Peso × Nota)</t>
        </is>
      </c>
      <c r="F8" s="5" t="inlineStr">
        <is>
          <t>Justificativa Técnica no Contexto da Equipe / Projeto</t>
        </is>
      </c>
    </row>
    <row r="9" ht="24" customHeight="1">
      <c r="A9" s="6" t="inlineStr">
        <is>
          <t>F1</t>
        </is>
      </c>
      <c r="B9" s="7" t="inlineStr">
        <is>
          <t>Processo formal de desenvolvimento de software</t>
        </is>
      </c>
      <c r="C9" s="8" t="n">
        <v>1.5</v>
      </c>
      <c r="D9" s="6" t="n">
        <v>4</v>
      </c>
      <c r="E9" s="9">
        <f>C9*D9</f>
        <v/>
      </c>
      <c r="F9" s="7" t="inlineStr">
        <is>
          <t>Uso de metodologia formal de LPS (Linha de Produção de Software), controle de versão (Git), medição e testes.</t>
        </is>
      </c>
    </row>
    <row r="10" ht="24" customHeight="1">
      <c r="A10" s="10" t="inlineStr">
        <is>
          <t>F2</t>
        </is>
      </c>
      <c r="B10" s="11" t="inlineStr">
        <is>
          <t>Experiência na aplicação / domínio de negócio</t>
        </is>
      </c>
      <c r="C10" s="12" t="n">
        <v>0.5</v>
      </c>
      <c r="D10" s="10" t="n">
        <v>3</v>
      </c>
      <c r="E10" s="9">
        <f>C10*D10</f>
        <v/>
      </c>
      <c r="F10" s="11" t="inlineStr">
        <is>
          <t>Conhecimento intermediário em rotinas de RH e folha, suportado por documento detalhado de especificação.</t>
        </is>
      </c>
    </row>
    <row r="11" ht="24" customHeight="1">
      <c r="A11" s="6" t="inlineStr">
        <is>
          <t>F3</t>
        </is>
      </c>
      <c r="B11" s="7" t="inlineStr">
        <is>
          <t>Experiência em Orientação a Objetos (OO)</t>
        </is>
      </c>
      <c r="C11" s="8" t="n">
        <v>1</v>
      </c>
      <c r="D11" s="6" t="n">
        <v>4</v>
      </c>
      <c r="E11" s="9">
        <f>C11*D11</f>
        <v/>
      </c>
      <c r="F11" s="7" t="inlineStr">
        <is>
          <t>Boa experiência em OO, modularização JS ES6+, componentes visuais reusáveis e manipulação de estado em SPA.</t>
        </is>
      </c>
    </row>
    <row r="12" ht="24" customHeight="1">
      <c r="A12" s="10" t="inlineStr">
        <is>
          <t>F4</t>
        </is>
      </c>
      <c r="B12" s="11" t="inlineStr">
        <is>
          <t>Capacidade do líder analista</t>
        </is>
      </c>
      <c r="C12" s="12" t="n">
        <v>0.5</v>
      </c>
      <c r="D12" s="10" t="n">
        <v>4</v>
      </c>
      <c r="E12" s="9">
        <f>C12*D12</f>
        <v/>
      </c>
      <c r="F12" s="11" t="inlineStr">
        <is>
          <t>Liderança com visão clara de arquitetura, elicitação de personas, storyboards e catálogo de requisitos funcionais.</t>
        </is>
      </c>
    </row>
    <row r="13" ht="24" customHeight="1">
      <c r="A13" s="6" t="inlineStr">
        <is>
          <t>F5</t>
        </is>
      </c>
      <c r="B13" s="7" t="inlineStr">
        <is>
          <t>Motivação da equipe</t>
        </is>
      </c>
      <c r="C13" s="8" t="n">
        <v>1</v>
      </c>
      <c r="D13" s="6" t="n">
        <v>5</v>
      </c>
      <c r="E13" s="9">
        <f>C13*D13</f>
        <v/>
      </c>
      <c r="F13" s="7" t="inlineStr">
        <is>
          <t>Muito alta. Comprometimento em entregar um projeto modelo acadêmico com protótipo funcional completo e documentação ABNT.</t>
        </is>
      </c>
    </row>
    <row r="14" ht="24" customHeight="1">
      <c r="A14" s="10" t="inlineStr">
        <is>
          <t>F6</t>
        </is>
      </c>
      <c r="B14" s="11" t="inlineStr">
        <is>
          <t>Estabilidade dos requisitos</t>
        </is>
      </c>
      <c r="C14" s="12" t="n">
        <v>2</v>
      </c>
      <c r="D14" s="10" t="n">
        <v>4</v>
      </c>
      <c r="E14" s="9">
        <f>C14*D14</f>
        <v/>
      </c>
      <c r="F14" s="11" t="inlineStr">
        <is>
          <t>Alta estabilidade. O escopo e variabilidades do HRTech Core foram bem definidos na fase de Design Thinking e especificação.</t>
        </is>
      </c>
    </row>
    <row r="15" ht="24" customHeight="1">
      <c r="A15" s="6" t="inlineStr">
        <is>
          <t>F7</t>
        </is>
      </c>
      <c r="B15" s="7" t="inlineStr">
        <is>
          <t>Trabalhadores em tempo parcial</t>
        </is>
      </c>
      <c r="C15" s="8" t="n">
        <v>-1</v>
      </c>
      <c r="D15" s="6" t="n">
        <v>3</v>
      </c>
      <c r="E15" s="9">
        <f>C15*D15</f>
        <v/>
      </c>
      <c r="F15" s="7" t="inlineStr">
        <is>
          <t>Peso negativo (-1.0). Equipe com dedicação acadêmica em tempo parcial (desfoca levemente mas mitigado por prazos).</t>
        </is>
      </c>
    </row>
    <row r="16" ht="24" customHeight="1">
      <c r="A16" s="10" t="inlineStr">
        <is>
          <t>F8</t>
        </is>
      </c>
      <c r="B16" s="11" t="inlineStr">
        <is>
          <t>Dificuldade da linguagem de programação</t>
        </is>
      </c>
      <c r="C16" s="12" t="n">
        <v>-1</v>
      </c>
      <c r="D16" s="10" t="n">
        <v>2</v>
      </c>
      <c r="E16" s="9">
        <f>C16*D16</f>
        <v/>
      </c>
      <c r="F16" s="11" t="inlineStr">
        <is>
          <t>Peso negativo (-1.0). Linguagens padrão Web (HTML5/CSS3/JS) com baixa complexidade sintática (nota 2 de dificuldade).</t>
        </is>
      </c>
    </row>
    <row r="17" ht="26" customHeight="1">
      <c r="A17" s="13" t="inlineStr">
        <is>
          <t>SOMATÓRIO DOS FATORES (Σ EF)</t>
        </is>
      </c>
      <c r="B17" s="14" t="n"/>
      <c r="C17" s="14" t="n"/>
      <c r="D17" s="14" t="n"/>
      <c r="E17" s="15">
        <f>SUM(E9:E16)</f>
        <v/>
      </c>
      <c r="F17" s="14" t="n"/>
    </row>
    <row r="19">
      <c r="A19" s="16" t="inlineStr">
        <is>
          <t>MEMÓRIA DE CÁLCULO DO ECF:</t>
        </is>
      </c>
    </row>
    <row r="20">
      <c r="A20" s="17" t="inlineStr">
        <is>
          <t>Fórmula Oficial:</t>
        </is>
      </c>
      <c r="B20" s="18" t="inlineStr">
        <is>
          <t>ECF = 1,4 + (-0,03 × Σ EF)</t>
        </is>
      </c>
    </row>
    <row r="21">
      <c r="A21" s="17" t="inlineStr">
        <is>
          <t>Substituição:</t>
        </is>
      </c>
      <c r="B21" s="19">
        <f>CONCATENATE("ECF = 1,4 + (-0,03 × ", TEXT(E17, "0.0"), ")")</f>
        <v/>
      </c>
    </row>
    <row r="23" ht="30" customHeight="1">
      <c r="A23" s="20" t="inlineStr">
        <is>
          <t>VALOR FINAL DE ECF:</t>
        </is>
      </c>
      <c r="B23" s="21">
        <f>1.4 + (-0.03 * E17)</f>
        <v/>
      </c>
    </row>
  </sheetData>
  <mergeCells count="1">
    <mergeCell ref="A17:D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2026-09-01T00:06:07Z</dcterms:created>
  <dcterms:modified xmlns:dcterms="http://purl.org/dc/terms/" xmlns:xsi="http://www.w3.org/2001/XMLSchema-instance" xsi:type="dcterms:W3CDTF">2026-09-01T00:06:07Z</dcterms:modified>
</cp:coreProperties>
</file>