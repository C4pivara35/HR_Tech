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Fatores Técnicos (TCF)" sheetId="1" state="visible" r:id="rId1"/>
    <sheet xmlns:r="http://schemas.openxmlformats.org/officeDocument/2006/relationships" name="2. Fatores Ambientais (ECF)" sheetId="2" state="visible" r:id="rId2"/>
    <sheet xmlns:r="http://schemas.openxmlformats.org/officeDocument/2006/relationships" name="3. Consolidado AUCP &amp; Cust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"/>
    <numFmt numFmtId="165" formatCode="0.000"/>
    <numFmt numFmtId="166" formatCode="R$ #,##0.00"/>
    <numFmt numFmtId="167" formatCode="#,##0.0 &quot;h&quot;"/>
    <numFmt numFmtId="168" formatCode="0.0 &quot;sem&quot;"/>
  </numFmts>
  <fonts count="13">
    <font>
      <name val="Calibri"/>
      <family val="2"/>
      <color theme="1"/>
      <sz val="11"/>
      <scheme val="minor"/>
    </font>
    <font>
      <name val="Arial"/>
      <b val="1"/>
      <color rgb="000F172A"/>
      <sz val="15"/>
    </font>
    <font>
      <name val="Arial"/>
      <b val="1"/>
      <color rgb="000D9488"/>
      <sz val="11"/>
    </font>
    <font>
      <name val="Arial"/>
      <b val="1"/>
      <color rgb="00FFFFFF"/>
      <sz val="10"/>
    </font>
    <font>
      <name val="Arial"/>
      <b val="1"/>
      <color rgb="001E293B"/>
      <sz val="10"/>
    </font>
    <font>
      <name val="Arial"/>
      <color rgb="001E293B"/>
      <sz val="10"/>
    </font>
    <font>
      <name val="Arial"/>
      <b val="1"/>
      <color rgb="00166534"/>
      <sz val="10"/>
    </font>
    <font>
      <name val="Arial"/>
      <b val="1"/>
      <color rgb="000F172A"/>
      <sz val="11"/>
    </font>
    <font>
      <name val="Arial"/>
      <b val="1"/>
      <color rgb="00166534"/>
      <sz val="11"/>
    </font>
    <font>
      <name val="Arial"/>
      <b val="1"/>
      <color rgb="000F172A"/>
      <sz val="12"/>
    </font>
    <font>
      <name val="Arial"/>
      <b val="1"/>
      <color rgb="00FFFFFF"/>
      <sz val="13"/>
    </font>
    <font>
      <name val="Arial"/>
      <b val="1"/>
      <color rgb="00475569"/>
      <sz val="9"/>
    </font>
    <font>
      <name val="Arial"/>
      <i val="1"/>
      <sz val="10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0FDF4"/>
        <bgColor rgb="00F0FDF4"/>
      </patternFill>
    </fill>
    <fill>
      <patternFill patternType="solid">
        <fgColor rgb="00F8FAFC"/>
        <bgColor rgb="00F8FAFC"/>
      </patternFill>
    </fill>
    <fill>
      <patternFill patternType="solid">
        <fgColor rgb="000D9488"/>
        <bgColor rgb="000D9488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pivotButton="0" quotePrefix="0" xfId="0"/>
    <xf numFmtId="164" fontId="5" fillId="4" borderId="1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/>
    </xf>
    <xf numFmtId="0" fontId="5" fillId="0" borderId="1" pivotButton="0" quotePrefix="0" xfId="0"/>
    <xf numFmtId="164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right" vertical="center"/>
    </xf>
    <xf numFmtId="0" fontId="0" fillId="0" borderId="1" pivotButton="0" quotePrefix="0" xfId="0"/>
    <xf numFmtId="164" fontId="8" fillId="3" borderId="1" applyAlignment="1" pivotButton="0" quotePrefix="0" xfId="0">
      <alignment horizontal="center" vertical="center"/>
    </xf>
    <xf numFmtId="0" fontId="9" fillId="0" borderId="0" pivotButton="0" quotePrefix="0" xfId="0"/>
    <xf numFmtId="165" fontId="10" fillId="5" borderId="0" applyAlignment="1" pivotButton="0" quotePrefix="0" xfId="0">
      <alignment horizontal="center" vertical="center"/>
    </xf>
    <xf numFmtId="0" fontId="11" fillId="0" borderId="0" pivotButton="0" quotePrefix="0" xfId="0"/>
    <xf numFmtId="0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0" fontId="12" fillId="0" borderId="0" pivotButton="0" quotePrefix="0" xfId="0"/>
    <xf numFmtId="0" fontId="5" fillId="0" borderId="0" pivotButton="0" quotePrefix="0" xfId="0"/>
    <xf numFmtId="0" fontId="4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7" fillId="0" borderId="1" pivotButton="0" quotePrefix="0" xfId="0"/>
    <xf numFmtId="0" fontId="8" fillId="0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167" fontId="5" fillId="0" borderId="1" pivotButton="0" quotePrefix="0" xfId="0"/>
    <xf numFmtId="166" fontId="5" fillId="0" borderId="1" pivotButton="0" quotePrefix="0" xfId="0"/>
    <xf numFmtId="168" fontId="5" fillId="0" borderId="1" applyAlignment="1" pivotButton="0" quotePrefix="0" xfId="0">
      <alignment horizontal="center" vertical="center"/>
    </xf>
    <xf numFmtId="0" fontId="4" fillId="3" borderId="1" pivotButton="0" quotePrefix="0" xfId="0"/>
    <xf numFmtId="167" fontId="8" fillId="3" borderId="1" pivotButton="0" quotePrefix="0" xfId="0"/>
    <xf numFmtId="166" fontId="8" fillId="3" borderId="1" pivotButton="0" quotePrefix="0" xfId="0"/>
    <xf numFmtId="168" fontId="5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6" customWidth="1" min="3" max="3"/>
    <col width="20" customWidth="1" min="4" max="4"/>
    <col width="22" customWidth="1" min="5" max="5"/>
    <col width="80" customWidth="1" min="6" max="6"/>
  </cols>
  <sheetData>
    <row r="1">
      <c r="A1" s="1" t="inlineStr">
        <is>
          <t>AVALIAÇÃO DO FATOR DE COMPLEXIDADE TÉCNICA (TCF)</t>
        </is>
      </c>
    </row>
    <row r="2">
      <c r="A2" s="2" t="inlineStr">
        <is>
          <t>Método de Pontos por Casos de Uso (Karner, 1993) — HRTech Core</t>
        </is>
      </c>
    </row>
    <row r="4" ht="26" customHeight="1">
      <c r="A4" s="3" t="inlineStr">
        <is>
          <t>ID</t>
        </is>
      </c>
      <c r="B4" s="3" t="inlineStr">
        <is>
          <t>Descrição do Fator</t>
        </is>
      </c>
      <c r="C4" s="3" t="inlineStr">
        <is>
          <t>Peso</t>
        </is>
      </c>
      <c r="D4" s="3" t="inlineStr">
        <is>
          <t>Nota (0-5)</t>
        </is>
      </c>
      <c r="E4" s="3" t="inlineStr">
        <is>
          <t>Subtotal (Peso × Nota)</t>
        </is>
      </c>
      <c r="F4" s="3" t="inlineStr">
        <is>
          <t>Justificativa Técnica no Contexto do Projeto</t>
        </is>
      </c>
    </row>
    <row r="5" ht="22" customHeight="1">
      <c r="A5" s="4" t="inlineStr">
        <is>
          <t>T1</t>
        </is>
      </c>
      <c r="B5" s="5" t="inlineStr">
        <is>
          <t>Sistemas distribuídos</t>
        </is>
      </c>
      <c r="C5" s="6" t="n">
        <v>2</v>
      </c>
      <c r="D5" s="4" t="n">
        <v>4</v>
      </c>
      <c r="E5" s="7">
        <f>C5*D5</f>
        <v/>
      </c>
      <c r="F5" s="8" t="inlineStr">
        <is>
          <t>Arquitetura Web SPA cliente-servidor distribuída com APIs REST e multi-tenancy em nuvem.</t>
        </is>
      </c>
    </row>
    <row r="6" ht="22" customHeight="1">
      <c r="A6" s="9" t="inlineStr">
        <is>
          <t>T2</t>
        </is>
      </c>
      <c r="B6" s="10" t="inlineStr">
        <is>
          <t>Objetivos de desempenho e tempo de resposta</t>
        </is>
      </c>
      <c r="C6" s="11" t="n">
        <v>1</v>
      </c>
      <c r="D6" s="9" t="n">
        <v>4</v>
      </c>
      <c r="E6" s="7">
        <f>C6*D6</f>
        <v/>
      </c>
      <c r="F6" s="12" t="inlineStr">
        <is>
          <t>Crítico para registros de ponto em horários de pico (resposta esperada &lt; 200 ms — RNF02).</t>
        </is>
      </c>
    </row>
    <row r="7" ht="22" customHeight="1">
      <c r="A7" s="4" t="inlineStr">
        <is>
          <t>T3</t>
        </is>
      </c>
      <c r="B7" s="5" t="inlineStr">
        <is>
          <t>Eficiência do usuário final (on-line)</t>
        </is>
      </c>
      <c r="C7" s="6" t="n">
        <v>1</v>
      </c>
      <c r="D7" s="4" t="n">
        <v>4</v>
      </c>
      <c r="E7" s="7">
        <f>C7*D7</f>
        <v/>
      </c>
      <c r="F7" s="8" t="inlineStr">
        <is>
          <t>Navegação SPA fluida, painéis resumidos e aprovações em 1 clique para agilizar a operação.</t>
        </is>
      </c>
    </row>
    <row r="8" ht="22" customHeight="1">
      <c r="A8" s="9" t="inlineStr">
        <is>
          <t>T4</t>
        </is>
      </c>
      <c r="B8" s="10" t="inlineStr">
        <is>
          <t>Complexidade interna de processamento</t>
        </is>
      </c>
      <c r="C8" s="11" t="n">
        <v>1</v>
      </c>
      <c r="D8" s="9" t="n">
        <v>3</v>
      </c>
      <c r="E8" s="7">
        <f>C8*D8</f>
        <v/>
      </c>
      <c r="F8" s="12" t="inlineStr">
        <is>
          <t>Algoritmos de cálculo de saldo de banco de horas, escalas 12x36, abonos e dupla custódia.</t>
        </is>
      </c>
    </row>
    <row r="9" ht="22" customHeight="1">
      <c r="A9" s="4" t="inlineStr">
        <is>
          <t>T5</t>
        </is>
      </c>
      <c r="B9" s="5" t="inlineStr">
        <is>
          <t>Código deve ser reutilizado</t>
        </is>
      </c>
      <c r="C9" s="6" t="n">
        <v>1</v>
      </c>
      <c r="D9" s="4" t="n">
        <v>5</v>
      </c>
      <c r="E9" s="7">
        <f>C9*D9</f>
        <v/>
      </c>
      <c r="F9" s="8" t="inlineStr">
        <is>
          <t>Essencial (LPS). Meta de reuso &gt; 75% com 6 ativos reutilizáveis documentados (AR01 a AR06).</t>
        </is>
      </c>
    </row>
    <row r="10" ht="22" customHeight="1">
      <c r="A10" s="9" t="inlineStr">
        <is>
          <t>T6</t>
        </is>
      </c>
      <c r="B10" s="10" t="inlineStr">
        <is>
          <t>Facilidade de instalação</t>
        </is>
      </c>
      <c r="C10" s="11" t="n">
        <v>0.5</v>
      </c>
      <c r="D10" s="9" t="n">
        <v>3</v>
      </c>
      <c r="E10" s="7">
        <f>C10*D10</f>
        <v/>
      </c>
      <c r="F10" s="12" t="inlineStr">
        <is>
          <t>SaaS em nuvem sem instalação no cliente, mas com setup automático de novos tenants em &lt; 8h.</t>
        </is>
      </c>
    </row>
    <row r="11" ht="22" customHeight="1">
      <c r="A11" s="4" t="inlineStr">
        <is>
          <t>T7</t>
        </is>
      </c>
      <c r="B11" s="5" t="inlineStr">
        <is>
          <t>Facilidade de uso (Usabilidade)</t>
        </is>
      </c>
      <c r="C11" s="6" t="n">
        <v>0.5</v>
      </c>
      <c r="D11" s="4" t="n">
        <v>4</v>
      </c>
      <c r="E11" s="7">
        <f>C11*D11</f>
        <v/>
      </c>
      <c r="F11" s="8" t="inlineStr">
        <is>
          <t>Atende desde diretores de RH até operadores de fábrica, exigindo alta usabilidade e clareza.</t>
        </is>
      </c>
    </row>
    <row r="12" ht="22" customHeight="1">
      <c r="A12" s="9" t="inlineStr">
        <is>
          <t>T8</t>
        </is>
      </c>
      <c r="B12" s="10" t="inlineStr">
        <is>
          <t>Portabilidade</t>
        </is>
      </c>
      <c r="C12" s="11" t="n">
        <v>2</v>
      </c>
      <c r="D12" s="9" t="n">
        <v>4</v>
      </c>
      <c r="E12" s="7">
        <f>C12*D12</f>
        <v/>
      </c>
      <c r="F12" s="12" t="inlineStr">
        <is>
          <t>Suporte a múltiplos navegadores em desktops, tablets industriais e smartphones.</t>
        </is>
      </c>
    </row>
    <row r="13" ht="22" customHeight="1">
      <c r="A13" s="4" t="inlineStr">
        <is>
          <t>T9</t>
        </is>
      </c>
      <c r="B13" s="5" t="inlineStr">
        <is>
          <t>Facilidade de mudança (Manutenibilidade)</t>
        </is>
      </c>
      <c r="C13" s="6" t="n">
        <v>1</v>
      </c>
      <c r="D13" s="4" t="n">
        <v>5</v>
      </c>
      <c r="E13" s="7">
        <f>C13*D13</f>
        <v/>
      </c>
      <c r="F13" s="8" t="inlineStr">
        <is>
          <t>Essencial. Arquitetura modular desacoplada para ativação de regras e módulos por tenant.</t>
        </is>
      </c>
    </row>
    <row r="14" ht="22" customHeight="1">
      <c r="A14" s="9" t="inlineStr">
        <is>
          <t>T10</t>
        </is>
      </c>
      <c r="B14" s="10" t="inlineStr">
        <is>
          <t>Concorrência</t>
        </is>
      </c>
      <c r="C14" s="11" t="n">
        <v>1</v>
      </c>
      <c r="D14" s="9" t="n">
        <v>4</v>
      </c>
      <c r="E14" s="7">
        <f>C14*D14</f>
        <v/>
      </c>
      <c r="F14" s="12" t="inlineStr">
        <is>
          <t>Elevado número de acessos simultâneos ao bater ponto nas trocas de turno e ao consultar dashboards.</t>
        </is>
      </c>
    </row>
    <row r="15" ht="22" customHeight="1">
      <c r="A15" s="4" t="inlineStr">
        <is>
          <t>T11</t>
        </is>
      </c>
      <c r="B15" s="5" t="inlineStr">
        <is>
          <t>Características especiais de segurança</t>
        </is>
      </c>
      <c r="C15" s="6" t="n">
        <v>1</v>
      </c>
      <c r="D15" s="4" t="n">
        <v>4</v>
      </c>
      <c r="E15" s="7">
        <f>C15*D15</f>
        <v/>
      </c>
      <c r="F15" s="8" t="inlineStr">
        <is>
          <t>Controle RBAC, trilha de auditoria imutável, conformidade com a LGPD e dupla custódia.</t>
        </is>
      </c>
    </row>
    <row r="16" ht="22" customHeight="1">
      <c r="A16" s="9" t="inlineStr">
        <is>
          <t>T12</t>
        </is>
      </c>
      <c r="B16" s="10" t="inlineStr">
        <is>
          <t>Acesso direto para terceiros</t>
        </is>
      </c>
      <c r="C16" s="11" t="n">
        <v>1</v>
      </c>
      <c r="D16" s="9" t="n">
        <v>3</v>
      </c>
      <c r="E16" s="7">
        <f>C16*D16</f>
        <v/>
      </c>
      <c r="F16" s="12" t="inlineStr">
        <is>
          <t>Integração API com cartões de benefícios (Caju/Flash), eSocial e Portal do Corretor parceiro.</t>
        </is>
      </c>
    </row>
    <row r="17" ht="22" customHeight="1">
      <c r="A17" s="4" t="inlineStr">
        <is>
          <t>T13</t>
        </is>
      </c>
      <c r="B17" s="5" t="inlineStr">
        <is>
          <t>Treinamento especial dos usuários</t>
        </is>
      </c>
      <c r="C17" s="6" t="n">
        <v>1</v>
      </c>
      <c r="D17" s="4" t="n">
        <v>2</v>
      </c>
      <c r="E17" s="7">
        <f>C17*D17</f>
        <v/>
      </c>
      <c r="F17" s="8" t="inlineStr">
        <is>
          <t>Interface autoexplicativa com design intuitivo para dispensar treinamentos complexos.</t>
        </is>
      </c>
    </row>
    <row r="18">
      <c r="A18" s="13" t="inlineStr">
        <is>
          <t>SOMATÓRIO DOS FATORES (Σ TF)</t>
        </is>
      </c>
      <c r="B18" s="14" t="n"/>
      <c r="C18" s="14" t="n"/>
      <c r="D18" s="14" t="n"/>
      <c r="E18" s="15">
        <f>SUM(E5:E17)</f>
        <v/>
      </c>
      <c r="F18" s="14" t="n"/>
    </row>
    <row r="20">
      <c r="A20" s="16" t="inlineStr">
        <is>
          <t>CÁLCULO TCF:</t>
        </is>
      </c>
      <c r="B20" s="17">
        <f>0.6 + (0.01 * E18)</f>
        <v/>
      </c>
    </row>
  </sheetData>
  <mergeCells count="1">
    <mergeCell ref="A18:D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6" customWidth="1" min="3" max="3"/>
    <col width="20" customWidth="1" min="4" max="4"/>
    <col width="22" customWidth="1" min="5" max="5"/>
    <col width="80" customWidth="1" min="6" max="6"/>
  </cols>
  <sheetData>
    <row r="1">
      <c r="A1" s="1" t="inlineStr">
        <is>
          <t>AVALIAÇÃO DO FATOR DE COMPLEXIDADE AMBIENTAL (ECF / FCA)</t>
        </is>
      </c>
    </row>
    <row r="2">
      <c r="A2" s="2" t="inlineStr">
        <is>
          <t>Método de Pontos por Casos de Uso (Karner, 1993) — HRTech Core</t>
        </is>
      </c>
    </row>
    <row r="4" ht="26" customHeight="1">
      <c r="A4" s="3" t="inlineStr">
        <is>
          <t>ID</t>
        </is>
      </c>
      <c r="B4" s="3" t="inlineStr">
        <is>
          <t>Descrição do Fator Ambiental</t>
        </is>
      </c>
      <c r="C4" s="3" t="inlineStr">
        <is>
          <t>Peso</t>
        </is>
      </c>
      <c r="D4" s="3" t="inlineStr">
        <is>
          <t>Nota (0-5)</t>
        </is>
      </c>
      <c r="E4" s="3" t="inlineStr">
        <is>
          <t>Subtotal (Peso × Nota)</t>
        </is>
      </c>
      <c r="F4" s="3" t="inlineStr">
        <is>
          <t>Justificativa Técnica no Contexto da Equipe / Projeto</t>
        </is>
      </c>
    </row>
    <row r="5" ht="22" customHeight="1">
      <c r="A5" s="4" t="inlineStr">
        <is>
          <t>F1</t>
        </is>
      </c>
      <c r="B5" s="5" t="inlineStr">
        <is>
          <t>Processo formal de desenvolvimento de software</t>
        </is>
      </c>
      <c r="C5" s="6" t="n">
        <v>1.5</v>
      </c>
      <c r="D5" s="4" t="n">
        <v>4</v>
      </c>
      <c r="E5" s="7">
        <f>C5*D5</f>
        <v/>
      </c>
      <c r="F5" s="8" t="inlineStr">
        <is>
          <t>Uso de metodologia formal de LPS (Linha de Produção de Software), controle de versão (Git), medição e testes.</t>
        </is>
      </c>
    </row>
    <row r="6" ht="22" customHeight="1">
      <c r="A6" s="9" t="inlineStr">
        <is>
          <t>F2</t>
        </is>
      </c>
      <c r="B6" s="10" t="inlineStr">
        <is>
          <t>Experiência na aplicação / domínio de negócio</t>
        </is>
      </c>
      <c r="C6" s="11" t="n">
        <v>0.5</v>
      </c>
      <c r="D6" s="9" t="n">
        <v>3</v>
      </c>
      <c r="E6" s="7">
        <f>C6*D6</f>
        <v/>
      </c>
      <c r="F6" s="12" t="inlineStr">
        <is>
          <t>Conhecimento intermediário em rotinas de RH e folha, suportado por documento detalhado de especificação.</t>
        </is>
      </c>
    </row>
    <row r="7" ht="22" customHeight="1">
      <c r="A7" s="4" t="inlineStr">
        <is>
          <t>F3</t>
        </is>
      </c>
      <c r="B7" s="5" t="inlineStr">
        <is>
          <t>Experiência em Orientação a Objetos (OO)</t>
        </is>
      </c>
      <c r="C7" s="6" t="n">
        <v>1</v>
      </c>
      <c r="D7" s="4" t="n">
        <v>4</v>
      </c>
      <c r="E7" s="7">
        <f>C7*D7</f>
        <v/>
      </c>
      <c r="F7" s="8" t="inlineStr">
        <is>
          <t>Boa experiência em OO, modularização JS ES6+, componentes visuais reusáveis e manipulação de estado em SPA.</t>
        </is>
      </c>
    </row>
    <row r="8" ht="22" customHeight="1">
      <c r="A8" s="9" t="inlineStr">
        <is>
          <t>F4</t>
        </is>
      </c>
      <c r="B8" s="10" t="inlineStr">
        <is>
          <t>Capacidade do líder analista</t>
        </is>
      </c>
      <c r="C8" s="11" t="n">
        <v>0.5</v>
      </c>
      <c r="D8" s="9" t="n">
        <v>4</v>
      </c>
      <c r="E8" s="7">
        <f>C8*D8</f>
        <v/>
      </c>
      <c r="F8" s="12" t="inlineStr">
        <is>
          <t>Liderança com visão clara de arquitetura, elicitação de personas, storyboards e catálogo de requisitos funcionais.</t>
        </is>
      </c>
    </row>
    <row r="9" ht="22" customHeight="1">
      <c r="A9" s="4" t="inlineStr">
        <is>
          <t>F5</t>
        </is>
      </c>
      <c r="B9" s="5" t="inlineStr">
        <is>
          <t>Motivação da equipe</t>
        </is>
      </c>
      <c r="C9" s="6" t="n">
        <v>1</v>
      </c>
      <c r="D9" s="4" t="n">
        <v>5</v>
      </c>
      <c r="E9" s="7">
        <f>C9*D9</f>
        <v/>
      </c>
      <c r="F9" s="8" t="inlineStr">
        <is>
          <t>Muito alta. Comprometimento em entregar um projeto modelo acadêmico com protótipo funcional completo e documentação ABNT.</t>
        </is>
      </c>
    </row>
    <row r="10" ht="22" customHeight="1">
      <c r="A10" s="9" t="inlineStr">
        <is>
          <t>F6</t>
        </is>
      </c>
      <c r="B10" s="10" t="inlineStr">
        <is>
          <t>Estabilidade dos requisitos</t>
        </is>
      </c>
      <c r="C10" s="11" t="n">
        <v>2</v>
      </c>
      <c r="D10" s="9" t="n">
        <v>4</v>
      </c>
      <c r="E10" s="7">
        <f>C10*D10</f>
        <v/>
      </c>
      <c r="F10" s="12" t="inlineStr">
        <is>
          <t>Alta estabilidade. O escopo e variabilidades do HRTech Core foram bem definidos na fase de Design Thinking e especificação.</t>
        </is>
      </c>
    </row>
    <row r="11" ht="22" customHeight="1">
      <c r="A11" s="4" t="inlineStr">
        <is>
          <t>F7</t>
        </is>
      </c>
      <c r="B11" s="5" t="inlineStr">
        <is>
          <t>Trabalhadores em tempo parcial</t>
        </is>
      </c>
      <c r="C11" s="6" t="n">
        <v>-1</v>
      </c>
      <c r="D11" s="4" t="n">
        <v>3</v>
      </c>
      <c r="E11" s="7">
        <f>C11*D11</f>
        <v/>
      </c>
      <c r="F11" s="8" t="inlineStr">
        <is>
          <t>Peso negativo (-1.0). Equipe com dedicação acadêmica em tempo parcial (desfoca levemente mas mitigado por prazos).</t>
        </is>
      </c>
    </row>
    <row r="12" ht="22" customHeight="1">
      <c r="A12" s="9" t="inlineStr">
        <is>
          <t>F8</t>
        </is>
      </c>
      <c r="B12" s="10" t="inlineStr">
        <is>
          <t>Dificuldade da linguagem de programação</t>
        </is>
      </c>
      <c r="C12" s="11" t="n">
        <v>-1</v>
      </c>
      <c r="D12" s="9" t="n">
        <v>2</v>
      </c>
      <c r="E12" s="7">
        <f>C12*D12</f>
        <v/>
      </c>
      <c r="F12" s="12" t="inlineStr">
        <is>
          <t>Peso negativo (-1.0). Linguagens padrão Web (HTML5/CSS3/JS) com baixa complexidade sintática (nota 2 de dificuldade).</t>
        </is>
      </c>
    </row>
    <row r="13">
      <c r="A13" s="13" t="inlineStr">
        <is>
          <t>SOMATÓRIO DOS FATORES (Σ EF)</t>
        </is>
      </c>
      <c r="B13" s="14" t="n"/>
      <c r="C13" s="14" t="n"/>
      <c r="D13" s="14" t="n"/>
      <c r="E13" s="15">
        <f>SUM(E5:E12)</f>
        <v/>
      </c>
      <c r="F13" s="14" t="n"/>
    </row>
    <row r="15">
      <c r="A15" s="16" t="inlineStr">
        <is>
          <t>CÁLCULO ECF:</t>
        </is>
      </c>
      <c r="B15" s="17">
        <f>1.4 + (-0.03 * E13)</f>
        <v/>
      </c>
    </row>
  </sheetData>
  <mergeCells count="1">
    <mergeCell ref="A13:D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6" customWidth="1" min="3" max="3"/>
    <col width="20" customWidth="1" min="4" max="4"/>
    <col width="22" customWidth="1" min="5" max="5"/>
    <col width="80" customWidth="1" min="6" max="6"/>
  </cols>
  <sheetData>
    <row r="1">
      <c r="A1" s="1" t="inlineStr">
        <is>
          <t>CONSOLIDADO UCP: AUCP, ESFORÇO, CRONOGRAMA E CUSTOS</t>
        </is>
      </c>
    </row>
    <row r="2">
      <c r="A2" s="2" t="inlineStr">
        <is>
          <t>Método de Pontos por Casos de Uso (Karner / Schneider &amp; Winters) — HRTech Core</t>
        </is>
      </c>
    </row>
    <row r="4">
      <c r="A4" s="16" t="inlineStr">
        <is>
          <t>1. DADOS DE ENTRADA DO PROJETO</t>
        </is>
      </c>
    </row>
    <row r="5" ht="19" customHeight="1">
      <c r="A5" s="18" t="inlineStr">
        <is>
          <t>Sistema:</t>
        </is>
      </c>
      <c r="B5" s="19" t="inlineStr">
        <is>
          <t>HRTech Core — Sistema Modular de Gestão de RH (LPS)</t>
        </is>
      </c>
    </row>
    <row r="6" ht="19" customHeight="1">
      <c r="A6" s="18" t="inlineStr">
        <is>
          <t>Pontos de Casos de Uso Não Ajustados (UUCP):</t>
        </is>
      </c>
      <c r="B6" s="19" t="n">
        <v>178</v>
      </c>
    </row>
    <row r="7" ht="19" customHeight="1">
      <c r="A7" s="18" t="inlineStr">
        <is>
          <t>Fator de Complexidade Técnica (TCF):</t>
        </is>
      </c>
      <c r="B7" s="20">
        <f>'1. Fatores Técnicos (TCF)'!B20</f>
        <v/>
      </c>
    </row>
    <row r="8" ht="19" customHeight="1">
      <c r="A8" s="18" t="inlineStr">
        <is>
          <t>Fator de Complexidade Ambiental (ECF):</t>
        </is>
      </c>
      <c r="B8" s="20">
        <f>'2. Fatores Ambientais (ECF)'!B15</f>
        <v/>
      </c>
    </row>
    <row r="9" ht="19" customHeight="1">
      <c r="A9" s="18" t="inlineStr">
        <is>
          <t>Valor da Homem-Hora (R$):</t>
        </is>
      </c>
      <c r="B9" s="21" t="n">
        <v>50</v>
      </c>
    </row>
    <row r="10" ht="19" customHeight="1">
      <c r="A10" s="18" t="inlineStr">
        <is>
          <t>Carga Horária Semanal por Dev (horas):</t>
        </is>
      </c>
      <c r="B10" s="19" t="n">
        <v>40</v>
      </c>
    </row>
    <row r="12">
      <c r="A12" s="16" t="inlineStr">
        <is>
          <t>2. CÁLCULO DO UCP AJUSTADO (AUCP)</t>
        </is>
      </c>
    </row>
    <row r="13">
      <c r="A13" t="inlineStr">
        <is>
          <t>Fórmula:</t>
        </is>
      </c>
      <c r="B13" s="22" t="inlineStr">
        <is>
          <t>AUCP = UUCP × TCF × ECF</t>
        </is>
      </c>
    </row>
    <row r="14">
      <c r="A14" t="inlineStr">
        <is>
          <t>Substituição:</t>
        </is>
      </c>
      <c r="B14" s="23">
        <f>CONCATENATE("AUCP = ", B6, " × ", TEXT(B7,"0.000"), " × ", TEXT(B8,"0.000"))</f>
        <v/>
      </c>
    </row>
    <row r="15">
      <c r="A15" t="inlineStr">
        <is>
          <t>AUCP RESULTANTE:</t>
        </is>
      </c>
      <c r="B15" s="17">
        <f>B6*B7*B8</f>
        <v/>
      </c>
    </row>
    <row r="17">
      <c r="A17" s="16" t="inlineStr">
        <is>
          <t>3. AVALIAÇÃO DA TAXA DE PRODUTIVIDADE (REGRA DE SCHNEIDER &amp; WINTERS)</t>
        </is>
      </c>
    </row>
    <row r="18" ht="24" customHeight="1">
      <c r="A18" s="3" t="inlineStr">
        <is>
          <t>Variável</t>
        </is>
      </c>
      <c r="B18" s="3" t="inlineStr">
        <is>
          <t>Regra / Condição</t>
        </is>
      </c>
      <c r="C18" s="3" t="inlineStr">
        <is>
          <t>Quantidade Apurada</t>
        </is>
      </c>
      <c r="D18" s="3" t="inlineStr">
        <is>
          <t>Taxa Recomendada</t>
        </is>
      </c>
    </row>
    <row r="19" ht="22" customHeight="1">
      <c r="A19" s="24" t="inlineStr">
        <is>
          <t>Fatores F1-F6 &lt; 3 (X)</t>
        </is>
      </c>
      <c r="B19" s="10" t="inlineStr">
        <is>
          <t>Qtd de fatores de processo/equipe com nota &lt; 3</t>
        </is>
      </c>
      <c r="C19" s="9" t="n">
        <v>0</v>
      </c>
      <c r="D19" s="25" t="inlineStr">
        <is>
          <t>—</t>
        </is>
      </c>
    </row>
    <row r="20" ht="22" customHeight="1">
      <c r="A20" s="24" t="inlineStr">
        <is>
          <t>Fatores F7-F8 &gt; 3 (Y)</t>
        </is>
      </c>
      <c r="B20" s="10" t="inlineStr">
        <is>
          <t>Qtd de fatores de risco com nota &gt; 3</t>
        </is>
      </c>
      <c r="C20" s="9" t="n">
        <v>0</v>
      </c>
      <c r="D20" s="25" t="inlineStr">
        <is>
          <t>—</t>
        </is>
      </c>
    </row>
    <row r="21" ht="22" customHeight="1">
      <c r="A21" s="26" t="inlineStr">
        <is>
          <t>Total (X + Y)</t>
        </is>
      </c>
      <c r="B21" s="24" t="inlineStr">
        <is>
          <t>Condição: (X + Y) &lt;= 2 → 20 h/UCP</t>
        </is>
      </c>
      <c r="C21" s="27">
        <f>C19+C20</f>
        <v/>
      </c>
      <c r="D21" s="28" t="inlineStr">
        <is>
          <t>20 h / UCP</t>
        </is>
      </c>
    </row>
    <row r="23">
      <c r="A23" s="16" t="inlineStr">
        <is>
          <t>4. TABELA COMPARATIVA DE PRODUTIVIDADE E CRONOGRAMA</t>
        </is>
      </c>
    </row>
    <row r="24" ht="26" customHeight="1">
      <c r="A24" s="3" t="inlineStr">
        <is>
          <t>Produtividade (h/UCP)</t>
        </is>
      </c>
      <c r="B24" s="3" t="inlineStr">
        <is>
          <t>Esforço Total (Horas)</t>
        </is>
      </c>
      <c r="C24" s="3" t="inlineStr">
        <is>
          <t>Custo Total (R$)</t>
        </is>
      </c>
      <c r="D24" s="3" t="inlineStr">
        <is>
          <t>1 Desenvolvedor</t>
        </is>
      </c>
      <c r="E24" s="3" t="inlineStr">
        <is>
          <t>2 Desenvolvedores</t>
        </is>
      </c>
      <c r="F24" s="3" t="inlineStr">
        <is>
          <t>4 Desenvolvedores</t>
        </is>
      </c>
    </row>
    <row r="25" ht="24" customHeight="1">
      <c r="A25" s="10" t="inlineStr">
        <is>
          <t>15 h/UCP (Otimista)</t>
        </is>
      </c>
      <c r="B25" s="29">
        <f>$B$15*15</f>
        <v/>
      </c>
      <c r="C25" s="30">
        <f>B25*$B$9</f>
        <v/>
      </c>
      <c r="D25" s="31">
        <f>B25/(1*$B$10)</f>
        <v/>
      </c>
      <c r="E25" s="31">
        <f>B25/(2*$B$10)</f>
        <v/>
      </c>
      <c r="F25" s="31">
        <f>B25/(4*$B$10)</f>
        <v/>
      </c>
    </row>
    <row r="26" ht="24" customHeight="1">
      <c r="A26" s="32" t="inlineStr">
        <is>
          <t>20 h/UCP (OFICIAL RECOMENDADO)</t>
        </is>
      </c>
      <c r="B26" s="33">
        <f>$B$15*20</f>
        <v/>
      </c>
      <c r="C26" s="34">
        <f>B26*$B$9</f>
        <v/>
      </c>
      <c r="D26" s="35">
        <f>B26/(1*$B$10)</f>
        <v/>
      </c>
      <c r="E26" s="35">
        <f>B26/(2*$B$10)</f>
        <v/>
      </c>
      <c r="F26" s="35">
        <f>B26/(4*$B$10)</f>
        <v/>
      </c>
    </row>
    <row r="27" ht="24" customHeight="1">
      <c r="A27" s="10" t="inlineStr">
        <is>
          <t>25 h/UCP (Conservador)</t>
        </is>
      </c>
      <c r="B27" s="29">
        <f>$B$15*25</f>
        <v/>
      </c>
      <c r="C27" s="30">
        <f>B27*$B$9</f>
        <v/>
      </c>
      <c r="D27" s="31">
        <f>B27/(1*$B$10)</f>
        <v/>
      </c>
      <c r="E27" s="31">
        <f>B27/(2*$B$10)</f>
        <v/>
      </c>
      <c r="F27" s="31">
        <f>B27/(4*$B$10)</f>
        <v/>
      </c>
    </row>
    <row r="28" ht="24" customHeight="1">
      <c r="A28" s="10" t="inlineStr">
        <is>
          <t>28 h/UCP (Contingência / Alto Risco)</t>
        </is>
      </c>
      <c r="B28" s="29">
        <f>$B$15*28</f>
        <v/>
      </c>
      <c r="C28" s="30">
        <f>B28*$B$9</f>
        <v/>
      </c>
      <c r="D28" s="31">
        <f>B28/(1*$B$10)</f>
        <v/>
      </c>
      <c r="E28" s="31">
        <f>B28/(2*$B$10)</f>
        <v/>
      </c>
      <c r="F28" s="31">
        <f>B28/(4*$B$10)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2026-09-01T00:35:47Z</dcterms:created>
  <dcterms:modified xmlns:dcterms="http://purl.org/dc/terms/" xmlns:xsi="http://www.w3.org/2001/XMLSchema-instance" xsi:type="dcterms:W3CDTF">2026-09-01T00:35:47Z</dcterms:modified>
</cp:coreProperties>
</file>